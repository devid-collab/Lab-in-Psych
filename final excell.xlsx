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Signal Detector /data/"/>
    </mc:Choice>
  </mc:AlternateContent>
  <xr:revisionPtr revIDLastSave="0" documentId="13_ncr:1_{659965CA-B551-504A-9DA9-9F40011E8B8A}" xr6:coauthVersionLast="47" xr6:coauthVersionMax="47" xr10:uidLastSave="{00000000-0000-0000-0000-000000000000}"/>
  <bookViews>
    <workbookView xWindow="540" yWindow="500" windowWidth="28040" windowHeight="16940" activeTab="1" xr2:uid="{362B6B2F-1B91-D14E-8A65-06C13A838590}"/>
  </bookViews>
  <sheets>
    <sheet name="Signal Detection Responses" sheetId="2" r:id="rId1"/>
    <sheet name="Analysis 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O7" i="1"/>
  <c r="O4" i="1"/>
  <c r="O3" i="1"/>
  <c r="F102" i="1"/>
  <c r="G102" i="1"/>
  <c r="H102" i="1"/>
  <c r="E102" i="1"/>
</calcChain>
</file>

<file path=xl/sharedStrings.xml><?xml version="1.0" encoding="utf-8"?>
<sst xmlns="http://schemas.openxmlformats.org/spreadsheetml/2006/main" count="234" uniqueCount="25">
  <si>
    <t>tilt</t>
  </si>
  <si>
    <t>key_resp.keys</t>
  </si>
  <si>
    <t>key_resp.corr</t>
  </si>
  <si>
    <t>up</t>
  </si>
  <si>
    <t>down</t>
  </si>
  <si>
    <t>Hit</t>
  </si>
  <si>
    <t>Miss</t>
  </si>
  <si>
    <t>False Alarm</t>
  </si>
  <si>
    <t>Correct Rejection</t>
  </si>
  <si>
    <t>SUM</t>
  </si>
  <si>
    <t>Respond YES</t>
  </si>
  <si>
    <t>Respond NO</t>
  </si>
  <si>
    <t>Equations</t>
  </si>
  <si>
    <t>Signal Present</t>
  </si>
  <si>
    <t>Signal Absent</t>
  </si>
  <si>
    <t>prop hit= hit/hit+miss</t>
  </si>
  <si>
    <t>prop fa=fa/fa+correct rejection</t>
  </si>
  <si>
    <t>d-prime= z(prop hit)- z(prop fa)</t>
  </si>
  <si>
    <t>c= -z(prop hit)+ z(prop fa)/2</t>
  </si>
  <si>
    <t>z= to fit the values in normal distribution</t>
  </si>
  <si>
    <t>0=up=hit</t>
  </si>
  <si>
    <t>0=down=miss</t>
  </si>
  <si>
    <t>num=up=false alarm</t>
  </si>
  <si>
    <t>num=down=cr</t>
  </si>
  <si>
    <t>c indicates a bias to response NO(conservative bias)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</si>
</sst>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7B58-8299-E44A-A304-C82442DF7B1C}">
  <dimension ref="A1:C101"/>
  <sheetViews>
    <sheetView workbookViewId="0">
      <selection activeCell="D4" sqref="D4"/>
    </sheetView>
  </sheetViews>
  <sheetFormatPr baseColWidth="10" defaultRowHeight="16" x14ac:dyDescent="0.2"/>
  <cols>
    <col min="1" max="1" width="21.6640625" customWidth="1"/>
    <col min="2" max="3" width="21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 t="s">
        <v>3</v>
      </c>
      <c r="C2">
        <v>1</v>
      </c>
    </row>
    <row r="3" spans="1:3" x14ac:dyDescent="0.2">
      <c r="A3">
        <v>-4</v>
      </c>
      <c r="B3" t="s">
        <v>3</v>
      </c>
      <c r="C3">
        <v>0</v>
      </c>
    </row>
    <row r="4" spans="1:3" x14ac:dyDescent="0.2">
      <c r="A4">
        <v>-4</v>
      </c>
      <c r="B4" t="s">
        <v>3</v>
      </c>
      <c r="C4">
        <v>0</v>
      </c>
    </row>
    <row r="5" spans="1:3" x14ac:dyDescent="0.2">
      <c r="A5">
        <v>0</v>
      </c>
      <c r="B5" t="s">
        <v>3</v>
      </c>
      <c r="C5">
        <v>1</v>
      </c>
    </row>
    <row r="6" spans="1:3" x14ac:dyDescent="0.2">
      <c r="A6">
        <v>0</v>
      </c>
      <c r="B6" t="s">
        <v>3</v>
      </c>
      <c r="C6">
        <v>1</v>
      </c>
    </row>
    <row r="7" spans="1:3" x14ac:dyDescent="0.2">
      <c r="A7">
        <v>-3</v>
      </c>
      <c r="B7" t="s">
        <v>4</v>
      </c>
      <c r="C7">
        <v>1</v>
      </c>
    </row>
    <row r="8" spans="1:3" x14ac:dyDescent="0.2">
      <c r="A8">
        <v>0</v>
      </c>
      <c r="B8" t="s">
        <v>3</v>
      </c>
      <c r="C8">
        <v>1</v>
      </c>
    </row>
    <row r="9" spans="1:3" x14ac:dyDescent="0.2">
      <c r="A9">
        <v>2</v>
      </c>
      <c r="B9" t="s">
        <v>4</v>
      </c>
      <c r="C9">
        <v>1</v>
      </c>
    </row>
    <row r="10" spans="1:3" x14ac:dyDescent="0.2">
      <c r="A10">
        <v>4</v>
      </c>
      <c r="B10" t="s">
        <v>4</v>
      </c>
      <c r="C10">
        <v>1</v>
      </c>
    </row>
    <row r="11" spans="1:3" x14ac:dyDescent="0.2">
      <c r="A11">
        <v>0</v>
      </c>
      <c r="B11" t="s">
        <v>3</v>
      </c>
      <c r="C11">
        <v>1</v>
      </c>
    </row>
    <row r="12" spans="1:3" x14ac:dyDescent="0.2">
      <c r="A12">
        <v>1</v>
      </c>
      <c r="B12" t="s">
        <v>4</v>
      </c>
      <c r="C12">
        <v>1</v>
      </c>
    </row>
    <row r="13" spans="1:3" x14ac:dyDescent="0.2">
      <c r="A13">
        <v>0</v>
      </c>
      <c r="B13" t="s">
        <v>3</v>
      </c>
      <c r="C13">
        <v>1</v>
      </c>
    </row>
    <row r="14" spans="1:3" x14ac:dyDescent="0.2">
      <c r="A14">
        <v>3</v>
      </c>
      <c r="B14" t="s">
        <v>4</v>
      </c>
      <c r="C14">
        <v>1</v>
      </c>
    </row>
    <row r="15" spans="1:3" x14ac:dyDescent="0.2">
      <c r="A15">
        <v>0</v>
      </c>
      <c r="B15" t="s">
        <v>4</v>
      </c>
      <c r="C15">
        <v>0</v>
      </c>
    </row>
    <row r="16" spans="1:3" x14ac:dyDescent="0.2">
      <c r="A16">
        <v>3</v>
      </c>
      <c r="B16" t="s">
        <v>4</v>
      </c>
      <c r="C16">
        <v>1</v>
      </c>
    </row>
    <row r="17" spans="1:3" x14ac:dyDescent="0.2">
      <c r="A17">
        <v>-4</v>
      </c>
      <c r="B17" t="s">
        <v>3</v>
      </c>
      <c r="C17">
        <v>0</v>
      </c>
    </row>
    <row r="18" spans="1:3" x14ac:dyDescent="0.2">
      <c r="A18">
        <v>-3</v>
      </c>
      <c r="B18" t="s">
        <v>4</v>
      </c>
      <c r="C18">
        <v>1</v>
      </c>
    </row>
    <row r="19" spans="1:3" x14ac:dyDescent="0.2">
      <c r="A19">
        <v>0</v>
      </c>
      <c r="B19" t="s">
        <v>3</v>
      </c>
      <c r="C19">
        <v>1</v>
      </c>
    </row>
    <row r="20" spans="1:3" x14ac:dyDescent="0.2">
      <c r="A20">
        <v>4</v>
      </c>
      <c r="B20" t="s">
        <v>4</v>
      </c>
      <c r="C20">
        <v>1</v>
      </c>
    </row>
    <row r="21" spans="1:3" x14ac:dyDescent="0.2">
      <c r="A21">
        <v>0</v>
      </c>
      <c r="B21" t="s">
        <v>3</v>
      </c>
      <c r="C21">
        <v>1</v>
      </c>
    </row>
    <row r="22" spans="1:3" x14ac:dyDescent="0.2">
      <c r="A22">
        <v>-2</v>
      </c>
      <c r="B22" t="s">
        <v>3</v>
      </c>
      <c r="C22">
        <v>0</v>
      </c>
    </row>
    <row r="23" spans="1:3" x14ac:dyDescent="0.2">
      <c r="A23">
        <v>0</v>
      </c>
      <c r="B23" t="s">
        <v>3</v>
      </c>
      <c r="C23">
        <v>1</v>
      </c>
    </row>
    <row r="24" spans="1:3" x14ac:dyDescent="0.2">
      <c r="A24">
        <v>-2</v>
      </c>
      <c r="B24" t="s">
        <v>4</v>
      </c>
      <c r="C24">
        <v>1</v>
      </c>
    </row>
    <row r="25" spans="1:3" x14ac:dyDescent="0.2">
      <c r="A25">
        <v>4</v>
      </c>
      <c r="B25" t="s">
        <v>4</v>
      </c>
      <c r="C25">
        <v>1</v>
      </c>
    </row>
    <row r="26" spans="1:3" x14ac:dyDescent="0.2">
      <c r="A26">
        <v>-5</v>
      </c>
      <c r="B26" t="s">
        <v>4</v>
      </c>
      <c r="C26">
        <v>1</v>
      </c>
    </row>
    <row r="27" spans="1:3" x14ac:dyDescent="0.2">
      <c r="A27">
        <v>2</v>
      </c>
      <c r="B27" t="s">
        <v>4</v>
      </c>
      <c r="C27">
        <v>1</v>
      </c>
    </row>
    <row r="28" spans="1:3" x14ac:dyDescent="0.2">
      <c r="A28">
        <v>4</v>
      </c>
      <c r="B28" t="s">
        <v>4</v>
      </c>
      <c r="C28">
        <v>1</v>
      </c>
    </row>
    <row r="29" spans="1:3" x14ac:dyDescent="0.2">
      <c r="A29">
        <v>4</v>
      </c>
      <c r="B29" t="s">
        <v>4</v>
      </c>
      <c r="C29">
        <v>1</v>
      </c>
    </row>
    <row r="30" spans="1:3" x14ac:dyDescent="0.2">
      <c r="A30">
        <v>-4</v>
      </c>
      <c r="B30" t="s">
        <v>4</v>
      </c>
      <c r="C30">
        <v>1</v>
      </c>
    </row>
    <row r="31" spans="1:3" x14ac:dyDescent="0.2">
      <c r="A31">
        <v>0</v>
      </c>
      <c r="B31" t="s">
        <v>4</v>
      </c>
      <c r="C31">
        <v>0</v>
      </c>
    </row>
    <row r="32" spans="1:3" x14ac:dyDescent="0.2">
      <c r="A32">
        <v>0</v>
      </c>
      <c r="B32" t="s">
        <v>3</v>
      </c>
      <c r="C32">
        <v>1</v>
      </c>
    </row>
    <row r="33" spans="1:3" x14ac:dyDescent="0.2">
      <c r="A33">
        <v>0</v>
      </c>
      <c r="B33" t="s">
        <v>3</v>
      </c>
      <c r="C33">
        <v>1</v>
      </c>
    </row>
    <row r="34" spans="1:3" x14ac:dyDescent="0.2">
      <c r="A34">
        <v>0</v>
      </c>
      <c r="B34" t="s">
        <v>3</v>
      </c>
      <c r="C34">
        <v>1</v>
      </c>
    </row>
    <row r="35" spans="1:3" x14ac:dyDescent="0.2">
      <c r="A35">
        <v>0</v>
      </c>
      <c r="B35" t="s">
        <v>3</v>
      </c>
      <c r="C35">
        <v>1</v>
      </c>
    </row>
    <row r="36" spans="1:3" x14ac:dyDescent="0.2">
      <c r="A36">
        <v>-2</v>
      </c>
      <c r="B36" t="s">
        <v>4</v>
      </c>
      <c r="C36">
        <v>1</v>
      </c>
    </row>
    <row r="37" spans="1:3" x14ac:dyDescent="0.2">
      <c r="A37">
        <v>0</v>
      </c>
      <c r="B37" t="s">
        <v>4</v>
      </c>
      <c r="C37">
        <v>0</v>
      </c>
    </row>
    <row r="38" spans="1:3" x14ac:dyDescent="0.2">
      <c r="A38">
        <v>0</v>
      </c>
      <c r="B38" t="s">
        <v>3</v>
      </c>
      <c r="C38">
        <v>1</v>
      </c>
    </row>
    <row r="39" spans="1:3" x14ac:dyDescent="0.2">
      <c r="A39">
        <v>-4</v>
      </c>
      <c r="B39" t="s">
        <v>4</v>
      </c>
      <c r="C39">
        <v>1</v>
      </c>
    </row>
    <row r="40" spans="1:3" x14ac:dyDescent="0.2">
      <c r="A40">
        <v>4</v>
      </c>
      <c r="B40" t="s">
        <v>4</v>
      </c>
      <c r="C40">
        <v>1</v>
      </c>
    </row>
    <row r="41" spans="1:3" x14ac:dyDescent="0.2">
      <c r="A41">
        <v>-3</v>
      </c>
      <c r="B41" t="s">
        <v>4</v>
      </c>
      <c r="C41">
        <v>1</v>
      </c>
    </row>
    <row r="42" spans="1:3" x14ac:dyDescent="0.2">
      <c r="A42">
        <v>3</v>
      </c>
      <c r="B42" t="s">
        <v>4</v>
      </c>
      <c r="C42">
        <v>1</v>
      </c>
    </row>
    <row r="43" spans="1:3" x14ac:dyDescent="0.2">
      <c r="A43">
        <v>-5</v>
      </c>
      <c r="B43" t="s">
        <v>4</v>
      </c>
      <c r="C43">
        <v>1</v>
      </c>
    </row>
    <row r="44" spans="1:3" x14ac:dyDescent="0.2">
      <c r="A44">
        <v>2</v>
      </c>
      <c r="B44" t="s">
        <v>4</v>
      </c>
      <c r="C44">
        <v>1</v>
      </c>
    </row>
    <row r="45" spans="1:3" x14ac:dyDescent="0.2">
      <c r="A45">
        <v>0</v>
      </c>
      <c r="B45" t="s">
        <v>3</v>
      </c>
      <c r="C45">
        <v>1</v>
      </c>
    </row>
    <row r="46" spans="1:3" x14ac:dyDescent="0.2">
      <c r="A46">
        <v>0</v>
      </c>
      <c r="B46" t="s">
        <v>3</v>
      </c>
      <c r="C46">
        <v>1</v>
      </c>
    </row>
    <row r="47" spans="1:3" x14ac:dyDescent="0.2">
      <c r="A47">
        <v>0</v>
      </c>
      <c r="B47" t="s">
        <v>4</v>
      </c>
      <c r="C47">
        <v>0</v>
      </c>
    </row>
    <row r="48" spans="1:3" x14ac:dyDescent="0.2">
      <c r="A48">
        <v>2</v>
      </c>
      <c r="B48" t="s">
        <v>4</v>
      </c>
      <c r="C48">
        <v>1</v>
      </c>
    </row>
    <row r="49" spans="1:3" x14ac:dyDescent="0.2">
      <c r="A49">
        <v>0</v>
      </c>
      <c r="B49" t="s">
        <v>3</v>
      </c>
      <c r="C49">
        <v>1</v>
      </c>
    </row>
    <row r="50" spans="1:3" x14ac:dyDescent="0.2">
      <c r="A50">
        <v>4</v>
      </c>
      <c r="B50" t="s">
        <v>4</v>
      </c>
      <c r="C50">
        <v>1</v>
      </c>
    </row>
    <row r="51" spans="1:3" x14ac:dyDescent="0.2">
      <c r="A51">
        <v>0</v>
      </c>
      <c r="B51" t="s">
        <v>3</v>
      </c>
      <c r="C51">
        <v>1</v>
      </c>
    </row>
    <row r="52" spans="1:3" x14ac:dyDescent="0.2">
      <c r="A52">
        <v>0</v>
      </c>
      <c r="B52" t="s">
        <v>3</v>
      </c>
      <c r="C52">
        <v>1</v>
      </c>
    </row>
    <row r="53" spans="1:3" x14ac:dyDescent="0.2">
      <c r="A53">
        <v>2</v>
      </c>
      <c r="B53" t="s">
        <v>4</v>
      </c>
      <c r="C53">
        <v>1</v>
      </c>
    </row>
    <row r="54" spans="1:3" x14ac:dyDescent="0.2">
      <c r="A54">
        <v>0</v>
      </c>
      <c r="B54" t="s">
        <v>3</v>
      </c>
      <c r="C54">
        <v>1</v>
      </c>
    </row>
    <row r="55" spans="1:3" x14ac:dyDescent="0.2">
      <c r="A55">
        <v>0</v>
      </c>
      <c r="B55" t="s">
        <v>3</v>
      </c>
      <c r="C55">
        <v>1</v>
      </c>
    </row>
    <row r="56" spans="1:3" x14ac:dyDescent="0.2">
      <c r="A56">
        <v>0</v>
      </c>
      <c r="B56" t="s">
        <v>4</v>
      </c>
      <c r="C56">
        <v>0</v>
      </c>
    </row>
    <row r="57" spans="1:3" x14ac:dyDescent="0.2">
      <c r="A57">
        <v>0</v>
      </c>
      <c r="B57" t="s">
        <v>4</v>
      </c>
      <c r="C57">
        <v>0</v>
      </c>
    </row>
    <row r="58" spans="1:3" x14ac:dyDescent="0.2">
      <c r="A58">
        <v>-5</v>
      </c>
      <c r="B58" t="s">
        <v>4</v>
      </c>
      <c r="C58">
        <v>1</v>
      </c>
    </row>
    <row r="59" spans="1:3" x14ac:dyDescent="0.2">
      <c r="A59">
        <v>-5</v>
      </c>
      <c r="B59" t="s">
        <v>4</v>
      </c>
      <c r="C59">
        <v>1</v>
      </c>
    </row>
    <row r="60" spans="1:3" x14ac:dyDescent="0.2">
      <c r="A60">
        <v>3</v>
      </c>
      <c r="B60" t="s">
        <v>4</v>
      </c>
      <c r="C60">
        <v>1</v>
      </c>
    </row>
    <row r="61" spans="1:3" x14ac:dyDescent="0.2">
      <c r="A61">
        <v>0</v>
      </c>
      <c r="B61" t="s">
        <v>4</v>
      </c>
      <c r="C61">
        <v>0</v>
      </c>
    </row>
    <row r="62" spans="1:3" x14ac:dyDescent="0.2">
      <c r="A62">
        <v>2</v>
      </c>
      <c r="B62" t="s">
        <v>4</v>
      </c>
      <c r="C62">
        <v>1</v>
      </c>
    </row>
    <row r="63" spans="1:3" x14ac:dyDescent="0.2">
      <c r="A63">
        <v>3</v>
      </c>
      <c r="B63" t="s">
        <v>4</v>
      </c>
      <c r="C63">
        <v>1</v>
      </c>
    </row>
    <row r="64" spans="1:3" x14ac:dyDescent="0.2">
      <c r="A64">
        <v>0</v>
      </c>
      <c r="B64" t="s">
        <v>3</v>
      </c>
      <c r="C64">
        <v>1</v>
      </c>
    </row>
    <row r="65" spans="1:3" x14ac:dyDescent="0.2">
      <c r="A65">
        <v>-3</v>
      </c>
      <c r="B65" t="s">
        <v>3</v>
      </c>
      <c r="C65">
        <v>0</v>
      </c>
    </row>
    <row r="66" spans="1:3" x14ac:dyDescent="0.2">
      <c r="A66">
        <v>0</v>
      </c>
      <c r="B66" t="s">
        <v>3</v>
      </c>
      <c r="C66">
        <v>1</v>
      </c>
    </row>
    <row r="67" spans="1:3" x14ac:dyDescent="0.2">
      <c r="A67">
        <v>0</v>
      </c>
      <c r="B67" t="s">
        <v>3</v>
      </c>
      <c r="C67">
        <v>1</v>
      </c>
    </row>
    <row r="68" spans="1:3" x14ac:dyDescent="0.2">
      <c r="A68">
        <v>0</v>
      </c>
      <c r="B68" t="s">
        <v>3</v>
      </c>
      <c r="C68">
        <v>1</v>
      </c>
    </row>
    <row r="69" spans="1:3" x14ac:dyDescent="0.2">
      <c r="A69">
        <v>0</v>
      </c>
      <c r="B69" t="s">
        <v>4</v>
      </c>
      <c r="C69">
        <v>0</v>
      </c>
    </row>
    <row r="70" spans="1:3" x14ac:dyDescent="0.2">
      <c r="A70">
        <v>-5</v>
      </c>
      <c r="B70" t="s">
        <v>4</v>
      </c>
      <c r="C70">
        <v>1</v>
      </c>
    </row>
    <row r="71" spans="1:3" x14ac:dyDescent="0.2">
      <c r="A71">
        <v>-5</v>
      </c>
      <c r="B71" t="s">
        <v>4</v>
      </c>
      <c r="C71">
        <v>1</v>
      </c>
    </row>
    <row r="72" spans="1:3" x14ac:dyDescent="0.2">
      <c r="A72">
        <v>3</v>
      </c>
      <c r="B72" t="s">
        <v>4</v>
      </c>
      <c r="C72">
        <v>1</v>
      </c>
    </row>
    <row r="73" spans="1:3" x14ac:dyDescent="0.2">
      <c r="A73">
        <v>0</v>
      </c>
      <c r="B73" t="s">
        <v>4</v>
      </c>
      <c r="C73">
        <v>0</v>
      </c>
    </row>
    <row r="74" spans="1:3" x14ac:dyDescent="0.2">
      <c r="A74">
        <v>0</v>
      </c>
      <c r="B74" t="s">
        <v>3</v>
      </c>
      <c r="C74">
        <v>1</v>
      </c>
    </row>
    <row r="75" spans="1:3" x14ac:dyDescent="0.2">
      <c r="A75">
        <v>0</v>
      </c>
      <c r="B75" t="s">
        <v>4</v>
      </c>
      <c r="C75">
        <v>0</v>
      </c>
    </row>
    <row r="76" spans="1:3" x14ac:dyDescent="0.2">
      <c r="A76">
        <v>0</v>
      </c>
      <c r="B76" t="s">
        <v>4</v>
      </c>
      <c r="C76">
        <v>0</v>
      </c>
    </row>
    <row r="77" spans="1:3" x14ac:dyDescent="0.2">
      <c r="A77">
        <v>-4</v>
      </c>
      <c r="B77" t="s">
        <v>4</v>
      </c>
      <c r="C77">
        <v>1</v>
      </c>
    </row>
    <row r="78" spans="1:3" x14ac:dyDescent="0.2">
      <c r="A78">
        <v>-3</v>
      </c>
      <c r="B78" t="s">
        <v>4</v>
      </c>
      <c r="C78">
        <v>1</v>
      </c>
    </row>
    <row r="79" spans="1:3" x14ac:dyDescent="0.2">
      <c r="A79">
        <v>0</v>
      </c>
      <c r="B79" t="s">
        <v>3</v>
      </c>
      <c r="C79">
        <v>1</v>
      </c>
    </row>
    <row r="80" spans="1:3" x14ac:dyDescent="0.2">
      <c r="A80">
        <v>0</v>
      </c>
      <c r="B80" t="s">
        <v>3</v>
      </c>
      <c r="C80">
        <v>1</v>
      </c>
    </row>
    <row r="81" spans="1:3" x14ac:dyDescent="0.2">
      <c r="A81">
        <v>0</v>
      </c>
      <c r="B81" t="s">
        <v>3</v>
      </c>
      <c r="C81">
        <v>1</v>
      </c>
    </row>
    <row r="82" spans="1:3" x14ac:dyDescent="0.2">
      <c r="A82">
        <v>1</v>
      </c>
      <c r="B82" t="s">
        <v>3</v>
      </c>
      <c r="C82">
        <v>0</v>
      </c>
    </row>
    <row r="83" spans="1:3" x14ac:dyDescent="0.2">
      <c r="A83">
        <v>0</v>
      </c>
      <c r="B83" t="s">
        <v>3</v>
      </c>
      <c r="C83">
        <v>1</v>
      </c>
    </row>
    <row r="84" spans="1:3" x14ac:dyDescent="0.2">
      <c r="A84">
        <v>0</v>
      </c>
      <c r="B84" t="s">
        <v>3</v>
      </c>
      <c r="C84">
        <v>1</v>
      </c>
    </row>
    <row r="85" spans="1:3" x14ac:dyDescent="0.2">
      <c r="A85">
        <v>0</v>
      </c>
      <c r="B85" t="s">
        <v>3</v>
      </c>
      <c r="C85">
        <v>1</v>
      </c>
    </row>
    <row r="86" spans="1:3" x14ac:dyDescent="0.2">
      <c r="A86">
        <v>0</v>
      </c>
      <c r="B86" t="s">
        <v>3</v>
      </c>
      <c r="C86">
        <v>1</v>
      </c>
    </row>
    <row r="87" spans="1:3" x14ac:dyDescent="0.2">
      <c r="A87">
        <v>2</v>
      </c>
      <c r="B87" t="s">
        <v>4</v>
      </c>
      <c r="C87">
        <v>1</v>
      </c>
    </row>
    <row r="88" spans="1:3" x14ac:dyDescent="0.2">
      <c r="A88">
        <v>3</v>
      </c>
      <c r="B88" t="s">
        <v>4</v>
      </c>
      <c r="C88">
        <v>1</v>
      </c>
    </row>
    <row r="89" spans="1:3" x14ac:dyDescent="0.2">
      <c r="A89">
        <v>3</v>
      </c>
      <c r="B89" t="s">
        <v>4</v>
      </c>
      <c r="C89">
        <v>1</v>
      </c>
    </row>
    <row r="90" spans="1:3" x14ac:dyDescent="0.2">
      <c r="A90">
        <v>0</v>
      </c>
      <c r="B90" t="s">
        <v>3</v>
      </c>
      <c r="C90">
        <v>1</v>
      </c>
    </row>
    <row r="91" spans="1:3" x14ac:dyDescent="0.2">
      <c r="A91">
        <v>2</v>
      </c>
      <c r="B91" t="s">
        <v>3</v>
      </c>
      <c r="C91">
        <v>0</v>
      </c>
    </row>
    <row r="92" spans="1:3" x14ac:dyDescent="0.2">
      <c r="A92">
        <v>0</v>
      </c>
      <c r="B92" t="s">
        <v>3</v>
      </c>
      <c r="C92">
        <v>1</v>
      </c>
    </row>
    <row r="93" spans="1:3" x14ac:dyDescent="0.2">
      <c r="A93">
        <v>0</v>
      </c>
      <c r="B93" t="s">
        <v>4</v>
      </c>
      <c r="C93">
        <v>0</v>
      </c>
    </row>
    <row r="94" spans="1:3" x14ac:dyDescent="0.2">
      <c r="A94">
        <v>0</v>
      </c>
      <c r="B94" t="s">
        <v>3</v>
      </c>
      <c r="C94">
        <v>1</v>
      </c>
    </row>
    <row r="95" spans="1:3" x14ac:dyDescent="0.2">
      <c r="A95">
        <v>-4</v>
      </c>
      <c r="B95" t="s">
        <v>4</v>
      </c>
      <c r="C95">
        <v>1</v>
      </c>
    </row>
    <row r="96" spans="1:3" x14ac:dyDescent="0.2">
      <c r="A96">
        <v>-2</v>
      </c>
      <c r="B96" t="s">
        <v>4</v>
      </c>
      <c r="C96">
        <v>1</v>
      </c>
    </row>
    <row r="97" spans="1:3" x14ac:dyDescent="0.2">
      <c r="A97">
        <v>1</v>
      </c>
      <c r="B97" t="s">
        <v>3</v>
      </c>
      <c r="C97">
        <v>0</v>
      </c>
    </row>
    <row r="98" spans="1:3" x14ac:dyDescent="0.2">
      <c r="A98">
        <v>1</v>
      </c>
      <c r="B98" t="s">
        <v>3</v>
      </c>
      <c r="C98">
        <v>0</v>
      </c>
    </row>
    <row r="99" spans="1:3" x14ac:dyDescent="0.2">
      <c r="A99">
        <v>-2</v>
      </c>
      <c r="B99" t="s">
        <v>3</v>
      </c>
      <c r="C99">
        <v>0</v>
      </c>
    </row>
    <row r="100" spans="1:3" x14ac:dyDescent="0.2">
      <c r="A100">
        <v>2</v>
      </c>
      <c r="B100" t="s">
        <v>4</v>
      </c>
      <c r="C100">
        <v>1</v>
      </c>
    </row>
    <row r="101" spans="1:3" x14ac:dyDescent="0.2">
      <c r="A101">
        <v>0</v>
      </c>
      <c r="B101" t="s">
        <v>4</v>
      </c>
      <c r="C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5C5B-ED03-0840-9FF4-EB1FEC387B65}">
  <dimension ref="A1:P102"/>
  <sheetViews>
    <sheetView tabSelected="1" zoomScale="105" workbookViewId="0">
      <selection activeCell="J20" sqref="J20"/>
    </sheetView>
  </sheetViews>
  <sheetFormatPr baseColWidth="10" defaultRowHeight="16" x14ac:dyDescent="0.2"/>
  <cols>
    <col min="1" max="1" width="21.6640625" customWidth="1"/>
    <col min="2" max="3" width="21.5" customWidth="1"/>
    <col min="5" max="5" width="21.83203125" customWidth="1"/>
    <col min="6" max="6" width="21.6640625" customWidth="1"/>
    <col min="7" max="7" width="21.5" customWidth="1"/>
    <col min="8" max="8" width="21.6640625" customWidth="1"/>
    <col min="10" max="10" width="17.1640625" customWidth="1"/>
    <col min="11" max="11" width="18.1640625" customWidth="1"/>
    <col min="12" max="12" width="18" customWidth="1"/>
    <col min="14" max="14" width="35.5" customWidth="1"/>
    <col min="15" max="15" width="21.83203125" customWidth="1"/>
    <col min="16" max="16" width="50.6640625" customWidth="1"/>
  </cols>
  <sheetData>
    <row r="1" spans="1:16" x14ac:dyDescent="0.2">
      <c r="A1" t="s">
        <v>0</v>
      </c>
      <c r="B1" t="s">
        <v>1</v>
      </c>
      <c r="C1" t="s">
        <v>2</v>
      </c>
      <c r="E1" s="1" t="s">
        <v>5</v>
      </c>
      <c r="F1" s="1" t="s">
        <v>6</v>
      </c>
      <c r="G1" s="1" t="s">
        <v>7</v>
      </c>
      <c r="H1" s="1" t="s">
        <v>8</v>
      </c>
      <c r="K1" s="1" t="s">
        <v>10</v>
      </c>
      <c r="L1" s="1" t="s">
        <v>11</v>
      </c>
      <c r="N1" s="1" t="s">
        <v>12</v>
      </c>
    </row>
    <row r="2" spans="1:16" x14ac:dyDescent="0.2">
      <c r="A2">
        <v>0</v>
      </c>
      <c r="B2" t="s">
        <v>3</v>
      </c>
      <c r="C2">
        <v>1</v>
      </c>
      <c r="E2">
        <v>1</v>
      </c>
      <c r="J2" s="1" t="s">
        <v>13</v>
      </c>
      <c r="K2" t="s">
        <v>5</v>
      </c>
      <c r="L2" t="s">
        <v>6</v>
      </c>
    </row>
    <row r="3" spans="1:16" x14ac:dyDescent="0.2">
      <c r="A3">
        <v>-4</v>
      </c>
      <c r="B3" t="s">
        <v>3</v>
      </c>
      <c r="C3">
        <v>0</v>
      </c>
      <c r="G3">
        <v>1</v>
      </c>
      <c r="J3" s="1" t="s">
        <v>14</v>
      </c>
      <c r="K3" t="s">
        <v>7</v>
      </c>
      <c r="L3" t="s">
        <v>8</v>
      </c>
      <c r="N3" t="s">
        <v>15</v>
      </c>
      <c r="O3" s="2">
        <f>K7/(K7+L7)</f>
        <v>0.75510204081632648</v>
      </c>
    </row>
    <row r="4" spans="1:16" x14ac:dyDescent="0.2">
      <c r="A4">
        <v>-4</v>
      </c>
      <c r="B4" t="s">
        <v>3</v>
      </c>
      <c r="C4">
        <v>0</v>
      </c>
      <c r="G4">
        <v>1</v>
      </c>
      <c r="N4" t="s">
        <v>16</v>
      </c>
      <c r="O4" s="2">
        <f>K8/(K8+L8)</f>
        <v>0.19607843137254902</v>
      </c>
    </row>
    <row r="5" spans="1:16" x14ac:dyDescent="0.2">
      <c r="A5">
        <v>0</v>
      </c>
      <c r="B5" t="s">
        <v>3</v>
      </c>
      <c r="C5">
        <v>1</v>
      </c>
      <c r="E5">
        <v>1</v>
      </c>
      <c r="O5" s="1"/>
    </row>
    <row r="6" spans="1:16" x14ac:dyDescent="0.2">
      <c r="A6">
        <v>0</v>
      </c>
      <c r="B6" t="s">
        <v>3</v>
      </c>
      <c r="C6">
        <v>1</v>
      </c>
      <c r="E6">
        <v>1</v>
      </c>
      <c r="K6" s="1" t="s">
        <v>10</v>
      </c>
      <c r="L6" s="1" t="s">
        <v>11</v>
      </c>
      <c r="O6" s="1"/>
    </row>
    <row r="7" spans="1:16" x14ac:dyDescent="0.2">
      <c r="A7">
        <v>-3</v>
      </c>
      <c r="B7" t="s">
        <v>4</v>
      </c>
      <c r="C7">
        <v>1</v>
      </c>
      <c r="H7">
        <v>1</v>
      </c>
      <c r="J7" s="1" t="s">
        <v>13</v>
      </c>
      <c r="K7" s="3">
        <v>37</v>
      </c>
      <c r="L7" s="3">
        <v>12</v>
      </c>
      <c r="N7" t="s">
        <v>17</v>
      </c>
      <c r="O7" s="2">
        <f>NORMSINV(O3)-NORMSINV(O4)</f>
        <v>1.5463458847056786</v>
      </c>
    </row>
    <row r="8" spans="1:16" x14ac:dyDescent="0.2">
      <c r="A8">
        <v>0</v>
      </c>
      <c r="B8" t="s">
        <v>3</v>
      </c>
      <c r="C8">
        <v>1</v>
      </c>
      <c r="E8">
        <v>1</v>
      </c>
      <c r="J8" s="1" t="s">
        <v>14</v>
      </c>
      <c r="K8" s="3">
        <v>10</v>
      </c>
      <c r="L8" s="3">
        <v>41</v>
      </c>
      <c r="N8" t="s">
        <v>18</v>
      </c>
      <c r="O8" s="2">
        <f>-((NORMSINV(O3)+NORMSINV(O4))/2)</f>
        <v>8.2539488240133407E-2</v>
      </c>
      <c r="P8" t="s">
        <v>24</v>
      </c>
    </row>
    <row r="9" spans="1:16" x14ac:dyDescent="0.2">
      <c r="A9">
        <v>2</v>
      </c>
      <c r="B9" t="s">
        <v>4</v>
      </c>
      <c r="C9">
        <v>1</v>
      </c>
      <c r="H9">
        <v>1</v>
      </c>
    </row>
    <row r="10" spans="1:16" x14ac:dyDescent="0.2">
      <c r="A10">
        <v>4</v>
      </c>
      <c r="B10" t="s">
        <v>4</v>
      </c>
      <c r="C10">
        <v>1</v>
      </c>
      <c r="H10">
        <v>1</v>
      </c>
      <c r="N10" t="s">
        <v>19</v>
      </c>
    </row>
    <row r="11" spans="1:16" x14ac:dyDescent="0.2">
      <c r="A11">
        <v>0</v>
      </c>
      <c r="B11" t="s">
        <v>3</v>
      </c>
      <c r="C11">
        <v>1</v>
      </c>
      <c r="E11">
        <v>1</v>
      </c>
      <c r="J11" t="s">
        <v>20</v>
      </c>
    </row>
    <row r="12" spans="1:16" x14ac:dyDescent="0.2">
      <c r="A12">
        <v>1</v>
      </c>
      <c r="B12" t="s">
        <v>4</v>
      </c>
      <c r="C12">
        <v>1</v>
      </c>
      <c r="H12">
        <v>1</v>
      </c>
      <c r="J12" t="s">
        <v>21</v>
      </c>
    </row>
    <row r="13" spans="1:16" x14ac:dyDescent="0.2">
      <c r="A13">
        <v>0</v>
      </c>
      <c r="B13" t="s">
        <v>3</v>
      </c>
      <c r="C13">
        <v>1</v>
      </c>
      <c r="E13">
        <v>1</v>
      </c>
      <c r="J13" t="s">
        <v>22</v>
      </c>
    </row>
    <row r="14" spans="1:16" x14ac:dyDescent="0.2">
      <c r="A14">
        <v>3</v>
      </c>
      <c r="B14" t="s">
        <v>4</v>
      </c>
      <c r="C14">
        <v>1</v>
      </c>
      <c r="H14">
        <v>1</v>
      </c>
      <c r="J14" t="s">
        <v>23</v>
      </c>
    </row>
    <row r="15" spans="1:16" x14ac:dyDescent="0.2">
      <c r="A15">
        <v>0</v>
      </c>
      <c r="B15" t="s">
        <v>4</v>
      </c>
      <c r="C15">
        <v>0</v>
      </c>
      <c r="E15">
        <v>1</v>
      </c>
    </row>
    <row r="16" spans="1:16" x14ac:dyDescent="0.2">
      <c r="A16">
        <v>3</v>
      </c>
      <c r="B16" t="s">
        <v>4</v>
      </c>
      <c r="C16">
        <v>1</v>
      </c>
      <c r="H16">
        <v>1</v>
      </c>
    </row>
    <row r="17" spans="1:8" x14ac:dyDescent="0.2">
      <c r="A17">
        <v>-4</v>
      </c>
      <c r="B17" t="s">
        <v>3</v>
      </c>
      <c r="C17">
        <v>0</v>
      </c>
      <c r="G17">
        <v>1</v>
      </c>
    </row>
    <row r="18" spans="1:8" x14ac:dyDescent="0.2">
      <c r="A18">
        <v>-3</v>
      </c>
      <c r="B18" t="s">
        <v>4</v>
      </c>
      <c r="C18">
        <v>1</v>
      </c>
      <c r="H18">
        <v>1</v>
      </c>
    </row>
    <row r="19" spans="1:8" x14ac:dyDescent="0.2">
      <c r="A19">
        <v>0</v>
      </c>
      <c r="B19" t="s">
        <v>3</v>
      </c>
      <c r="C19">
        <v>1</v>
      </c>
      <c r="E19">
        <v>1</v>
      </c>
    </row>
    <row r="20" spans="1:8" x14ac:dyDescent="0.2">
      <c r="A20">
        <v>4</v>
      </c>
      <c r="B20" t="s">
        <v>4</v>
      </c>
      <c r="C20">
        <v>1</v>
      </c>
      <c r="H20">
        <v>1</v>
      </c>
    </row>
    <row r="21" spans="1:8" x14ac:dyDescent="0.2">
      <c r="A21">
        <v>0</v>
      </c>
      <c r="B21" t="s">
        <v>3</v>
      </c>
      <c r="C21">
        <v>1</v>
      </c>
      <c r="E21">
        <v>1</v>
      </c>
    </row>
    <row r="22" spans="1:8" x14ac:dyDescent="0.2">
      <c r="A22">
        <v>-2</v>
      </c>
      <c r="B22" t="s">
        <v>3</v>
      </c>
      <c r="C22">
        <v>0</v>
      </c>
      <c r="G22">
        <v>1</v>
      </c>
    </row>
    <row r="23" spans="1:8" x14ac:dyDescent="0.2">
      <c r="A23">
        <v>0</v>
      </c>
      <c r="B23" t="s">
        <v>3</v>
      </c>
      <c r="C23">
        <v>1</v>
      </c>
      <c r="E23">
        <v>1</v>
      </c>
    </row>
    <row r="24" spans="1:8" x14ac:dyDescent="0.2">
      <c r="A24">
        <v>-2</v>
      </c>
      <c r="B24" t="s">
        <v>4</v>
      </c>
      <c r="C24">
        <v>1</v>
      </c>
      <c r="H24">
        <v>1</v>
      </c>
    </row>
    <row r="25" spans="1:8" x14ac:dyDescent="0.2">
      <c r="A25">
        <v>4</v>
      </c>
      <c r="B25" t="s">
        <v>4</v>
      </c>
      <c r="C25">
        <v>1</v>
      </c>
      <c r="H25">
        <v>1</v>
      </c>
    </row>
    <row r="26" spans="1:8" x14ac:dyDescent="0.2">
      <c r="A26">
        <v>-5</v>
      </c>
      <c r="B26" t="s">
        <v>4</v>
      </c>
      <c r="C26">
        <v>1</v>
      </c>
      <c r="H26">
        <v>1</v>
      </c>
    </row>
    <row r="27" spans="1:8" x14ac:dyDescent="0.2">
      <c r="A27">
        <v>2</v>
      </c>
      <c r="B27" t="s">
        <v>4</v>
      </c>
      <c r="C27">
        <v>1</v>
      </c>
      <c r="H27">
        <v>1</v>
      </c>
    </row>
    <row r="28" spans="1:8" x14ac:dyDescent="0.2">
      <c r="A28">
        <v>4</v>
      </c>
      <c r="B28" t="s">
        <v>4</v>
      </c>
      <c r="C28">
        <v>1</v>
      </c>
      <c r="H28">
        <v>1</v>
      </c>
    </row>
    <row r="29" spans="1:8" x14ac:dyDescent="0.2">
      <c r="A29">
        <v>4</v>
      </c>
      <c r="B29" t="s">
        <v>4</v>
      </c>
      <c r="C29">
        <v>1</v>
      </c>
      <c r="H29">
        <v>1</v>
      </c>
    </row>
    <row r="30" spans="1:8" x14ac:dyDescent="0.2">
      <c r="A30">
        <v>-4</v>
      </c>
      <c r="B30" t="s">
        <v>4</v>
      </c>
      <c r="C30">
        <v>1</v>
      </c>
      <c r="H30">
        <v>1</v>
      </c>
    </row>
    <row r="31" spans="1:8" x14ac:dyDescent="0.2">
      <c r="A31">
        <v>0</v>
      </c>
      <c r="B31" t="s">
        <v>4</v>
      </c>
      <c r="C31">
        <v>0</v>
      </c>
      <c r="F31">
        <v>1</v>
      </c>
    </row>
    <row r="32" spans="1:8" x14ac:dyDescent="0.2">
      <c r="A32">
        <v>0</v>
      </c>
      <c r="B32" t="s">
        <v>3</v>
      </c>
      <c r="C32">
        <v>1</v>
      </c>
      <c r="E32">
        <v>1</v>
      </c>
    </row>
    <row r="33" spans="1:8" x14ac:dyDescent="0.2">
      <c r="A33">
        <v>0</v>
      </c>
      <c r="B33" t="s">
        <v>3</v>
      </c>
      <c r="C33">
        <v>1</v>
      </c>
      <c r="E33">
        <v>1</v>
      </c>
    </row>
    <row r="34" spans="1:8" x14ac:dyDescent="0.2">
      <c r="A34">
        <v>0</v>
      </c>
      <c r="B34" t="s">
        <v>3</v>
      </c>
      <c r="C34">
        <v>1</v>
      </c>
      <c r="E34">
        <v>1</v>
      </c>
    </row>
    <row r="35" spans="1:8" x14ac:dyDescent="0.2">
      <c r="A35">
        <v>0</v>
      </c>
      <c r="B35" t="s">
        <v>3</v>
      </c>
      <c r="C35">
        <v>1</v>
      </c>
      <c r="E35">
        <v>1</v>
      </c>
    </row>
    <row r="36" spans="1:8" x14ac:dyDescent="0.2">
      <c r="A36">
        <v>-2</v>
      </c>
      <c r="B36" t="s">
        <v>4</v>
      </c>
      <c r="C36">
        <v>1</v>
      </c>
      <c r="H36">
        <v>1</v>
      </c>
    </row>
    <row r="37" spans="1:8" x14ac:dyDescent="0.2">
      <c r="A37">
        <v>0</v>
      </c>
      <c r="B37" t="s">
        <v>4</v>
      </c>
      <c r="C37">
        <v>0</v>
      </c>
      <c r="F37">
        <v>1</v>
      </c>
    </row>
    <row r="38" spans="1:8" x14ac:dyDescent="0.2">
      <c r="A38">
        <v>0</v>
      </c>
      <c r="B38" t="s">
        <v>3</v>
      </c>
      <c r="C38">
        <v>1</v>
      </c>
      <c r="E38">
        <v>1</v>
      </c>
    </row>
    <row r="39" spans="1:8" x14ac:dyDescent="0.2">
      <c r="A39">
        <v>-4</v>
      </c>
      <c r="B39" t="s">
        <v>4</v>
      </c>
      <c r="C39">
        <v>1</v>
      </c>
      <c r="H39">
        <v>1</v>
      </c>
    </row>
    <row r="40" spans="1:8" x14ac:dyDescent="0.2">
      <c r="A40">
        <v>4</v>
      </c>
      <c r="B40" t="s">
        <v>4</v>
      </c>
      <c r="C40">
        <v>1</v>
      </c>
      <c r="H40">
        <v>1</v>
      </c>
    </row>
    <row r="41" spans="1:8" x14ac:dyDescent="0.2">
      <c r="A41">
        <v>-3</v>
      </c>
      <c r="B41" t="s">
        <v>4</v>
      </c>
      <c r="C41">
        <v>1</v>
      </c>
      <c r="H41">
        <v>1</v>
      </c>
    </row>
    <row r="42" spans="1:8" x14ac:dyDescent="0.2">
      <c r="A42">
        <v>3</v>
      </c>
      <c r="B42" t="s">
        <v>4</v>
      </c>
      <c r="C42">
        <v>1</v>
      </c>
      <c r="H42">
        <v>1</v>
      </c>
    </row>
    <row r="43" spans="1:8" x14ac:dyDescent="0.2">
      <c r="A43">
        <v>-5</v>
      </c>
      <c r="B43" t="s">
        <v>4</v>
      </c>
      <c r="C43">
        <v>1</v>
      </c>
      <c r="H43">
        <v>1</v>
      </c>
    </row>
    <row r="44" spans="1:8" x14ac:dyDescent="0.2">
      <c r="A44">
        <v>2</v>
      </c>
      <c r="B44" t="s">
        <v>4</v>
      </c>
      <c r="C44">
        <v>1</v>
      </c>
      <c r="H44">
        <v>1</v>
      </c>
    </row>
    <row r="45" spans="1:8" x14ac:dyDescent="0.2">
      <c r="A45">
        <v>0</v>
      </c>
      <c r="B45" t="s">
        <v>3</v>
      </c>
      <c r="C45">
        <v>1</v>
      </c>
      <c r="E45">
        <v>1</v>
      </c>
    </row>
    <row r="46" spans="1:8" x14ac:dyDescent="0.2">
      <c r="A46">
        <v>0</v>
      </c>
      <c r="B46" t="s">
        <v>3</v>
      </c>
      <c r="C46">
        <v>1</v>
      </c>
      <c r="E46">
        <v>1</v>
      </c>
    </row>
    <row r="47" spans="1:8" x14ac:dyDescent="0.2">
      <c r="A47">
        <v>0</v>
      </c>
      <c r="B47" t="s">
        <v>4</v>
      </c>
      <c r="C47">
        <v>0</v>
      </c>
      <c r="F47">
        <v>1</v>
      </c>
    </row>
    <row r="48" spans="1:8" x14ac:dyDescent="0.2">
      <c r="A48">
        <v>2</v>
      </c>
      <c r="B48" t="s">
        <v>4</v>
      </c>
      <c r="C48">
        <v>1</v>
      </c>
      <c r="H48">
        <v>1</v>
      </c>
    </row>
    <row r="49" spans="1:8" x14ac:dyDescent="0.2">
      <c r="A49">
        <v>0</v>
      </c>
      <c r="B49" t="s">
        <v>3</v>
      </c>
      <c r="C49">
        <v>1</v>
      </c>
      <c r="E49">
        <v>1</v>
      </c>
    </row>
    <row r="50" spans="1:8" x14ac:dyDescent="0.2">
      <c r="A50">
        <v>4</v>
      </c>
      <c r="B50" t="s">
        <v>4</v>
      </c>
      <c r="C50">
        <v>1</v>
      </c>
      <c r="H50">
        <v>1</v>
      </c>
    </row>
    <row r="51" spans="1:8" x14ac:dyDescent="0.2">
      <c r="A51">
        <v>0</v>
      </c>
      <c r="B51" t="s">
        <v>3</v>
      </c>
      <c r="C51">
        <v>1</v>
      </c>
      <c r="E51">
        <v>1</v>
      </c>
    </row>
    <row r="52" spans="1:8" x14ac:dyDescent="0.2">
      <c r="A52">
        <v>0</v>
      </c>
      <c r="B52" t="s">
        <v>3</v>
      </c>
      <c r="C52">
        <v>1</v>
      </c>
      <c r="E52">
        <v>1</v>
      </c>
    </row>
    <row r="53" spans="1:8" x14ac:dyDescent="0.2">
      <c r="A53">
        <v>2</v>
      </c>
      <c r="B53" t="s">
        <v>4</v>
      </c>
      <c r="C53">
        <v>1</v>
      </c>
      <c r="H53">
        <v>1</v>
      </c>
    </row>
    <row r="54" spans="1:8" x14ac:dyDescent="0.2">
      <c r="A54">
        <v>0</v>
      </c>
      <c r="B54" t="s">
        <v>3</v>
      </c>
      <c r="C54">
        <v>1</v>
      </c>
      <c r="E54">
        <v>1</v>
      </c>
    </row>
    <row r="55" spans="1:8" x14ac:dyDescent="0.2">
      <c r="A55">
        <v>0</v>
      </c>
      <c r="B55" t="s">
        <v>3</v>
      </c>
      <c r="C55">
        <v>1</v>
      </c>
      <c r="E55">
        <v>1</v>
      </c>
    </row>
    <row r="56" spans="1:8" x14ac:dyDescent="0.2">
      <c r="A56">
        <v>0</v>
      </c>
      <c r="B56" t="s">
        <v>4</v>
      </c>
      <c r="C56">
        <v>0</v>
      </c>
      <c r="F56">
        <v>1</v>
      </c>
    </row>
    <row r="57" spans="1:8" x14ac:dyDescent="0.2">
      <c r="A57">
        <v>0</v>
      </c>
      <c r="B57" t="s">
        <v>4</v>
      </c>
      <c r="C57">
        <v>0</v>
      </c>
      <c r="F57">
        <v>1</v>
      </c>
    </row>
    <row r="58" spans="1:8" x14ac:dyDescent="0.2">
      <c r="A58">
        <v>-5</v>
      </c>
      <c r="B58" t="s">
        <v>4</v>
      </c>
      <c r="C58">
        <v>1</v>
      </c>
      <c r="H58">
        <v>1</v>
      </c>
    </row>
    <row r="59" spans="1:8" x14ac:dyDescent="0.2">
      <c r="A59">
        <v>-5</v>
      </c>
      <c r="B59" t="s">
        <v>4</v>
      </c>
      <c r="C59">
        <v>1</v>
      </c>
      <c r="H59">
        <v>1</v>
      </c>
    </row>
    <row r="60" spans="1:8" x14ac:dyDescent="0.2">
      <c r="A60">
        <v>3</v>
      </c>
      <c r="B60" t="s">
        <v>4</v>
      </c>
      <c r="C60">
        <v>1</v>
      </c>
      <c r="H60">
        <v>1</v>
      </c>
    </row>
    <row r="61" spans="1:8" x14ac:dyDescent="0.2">
      <c r="A61">
        <v>0</v>
      </c>
      <c r="B61" t="s">
        <v>4</v>
      </c>
      <c r="C61">
        <v>0</v>
      </c>
      <c r="F61">
        <v>1</v>
      </c>
    </row>
    <row r="62" spans="1:8" x14ac:dyDescent="0.2">
      <c r="A62">
        <v>2</v>
      </c>
      <c r="B62" t="s">
        <v>4</v>
      </c>
      <c r="C62">
        <v>1</v>
      </c>
      <c r="H62">
        <v>1</v>
      </c>
    </row>
    <row r="63" spans="1:8" x14ac:dyDescent="0.2">
      <c r="A63">
        <v>3</v>
      </c>
      <c r="B63" t="s">
        <v>4</v>
      </c>
      <c r="C63">
        <v>1</v>
      </c>
      <c r="H63">
        <v>1</v>
      </c>
    </row>
    <row r="64" spans="1:8" x14ac:dyDescent="0.2">
      <c r="A64">
        <v>0</v>
      </c>
      <c r="B64" t="s">
        <v>3</v>
      </c>
      <c r="C64">
        <v>1</v>
      </c>
      <c r="E64">
        <v>1</v>
      </c>
    </row>
    <row r="65" spans="1:8" x14ac:dyDescent="0.2">
      <c r="A65">
        <v>-3</v>
      </c>
      <c r="B65" t="s">
        <v>3</v>
      </c>
      <c r="C65">
        <v>0</v>
      </c>
      <c r="G65">
        <v>1</v>
      </c>
    </row>
    <row r="66" spans="1:8" x14ac:dyDescent="0.2">
      <c r="A66">
        <v>0</v>
      </c>
      <c r="B66" t="s">
        <v>3</v>
      </c>
      <c r="C66">
        <v>1</v>
      </c>
      <c r="E66">
        <v>1</v>
      </c>
    </row>
    <row r="67" spans="1:8" x14ac:dyDescent="0.2">
      <c r="A67">
        <v>0</v>
      </c>
      <c r="B67" t="s">
        <v>3</v>
      </c>
      <c r="C67">
        <v>1</v>
      </c>
      <c r="E67">
        <v>1</v>
      </c>
    </row>
    <row r="68" spans="1:8" x14ac:dyDescent="0.2">
      <c r="A68">
        <v>0</v>
      </c>
      <c r="B68" t="s">
        <v>3</v>
      </c>
      <c r="C68">
        <v>1</v>
      </c>
      <c r="E68">
        <v>1</v>
      </c>
    </row>
    <row r="69" spans="1:8" x14ac:dyDescent="0.2">
      <c r="A69">
        <v>0</v>
      </c>
      <c r="B69" t="s">
        <v>4</v>
      </c>
      <c r="C69">
        <v>0</v>
      </c>
      <c r="F69">
        <v>1</v>
      </c>
    </row>
    <row r="70" spans="1:8" x14ac:dyDescent="0.2">
      <c r="A70">
        <v>-5</v>
      </c>
      <c r="B70" t="s">
        <v>4</v>
      </c>
      <c r="C70">
        <v>1</v>
      </c>
      <c r="H70">
        <v>1</v>
      </c>
    </row>
    <row r="71" spans="1:8" x14ac:dyDescent="0.2">
      <c r="A71">
        <v>-5</v>
      </c>
      <c r="B71" t="s">
        <v>4</v>
      </c>
      <c r="C71">
        <v>1</v>
      </c>
      <c r="H71">
        <v>1</v>
      </c>
    </row>
    <row r="72" spans="1:8" x14ac:dyDescent="0.2">
      <c r="A72">
        <v>3</v>
      </c>
      <c r="B72" t="s">
        <v>4</v>
      </c>
      <c r="C72">
        <v>1</v>
      </c>
      <c r="H72">
        <v>1</v>
      </c>
    </row>
    <row r="73" spans="1:8" x14ac:dyDescent="0.2">
      <c r="A73">
        <v>0</v>
      </c>
      <c r="B73" t="s">
        <v>4</v>
      </c>
      <c r="C73">
        <v>0</v>
      </c>
      <c r="F73">
        <v>1</v>
      </c>
    </row>
    <row r="74" spans="1:8" x14ac:dyDescent="0.2">
      <c r="A74">
        <v>0</v>
      </c>
      <c r="B74" t="s">
        <v>3</v>
      </c>
      <c r="C74">
        <v>1</v>
      </c>
      <c r="E74">
        <v>1</v>
      </c>
    </row>
    <row r="75" spans="1:8" x14ac:dyDescent="0.2">
      <c r="A75">
        <v>0</v>
      </c>
      <c r="B75" t="s">
        <v>4</v>
      </c>
      <c r="C75">
        <v>0</v>
      </c>
      <c r="F75">
        <v>1</v>
      </c>
    </row>
    <row r="76" spans="1:8" x14ac:dyDescent="0.2">
      <c r="A76">
        <v>0</v>
      </c>
      <c r="B76" t="s">
        <v>4</v>
      </c>
      <c r="C76">
        <v>0</v>
      </c>
      <c r="F76">
        <v>1</v>
      </c>
    </row>
    <row r="77" spans="1:8" x14ac:dyDescent="0.2">
      <c r="A77">
        <v>-4</v>
      </c>
      <c r="B77" t="s">
        <v>4</v>
      </c>
      <c r="C77">
        <v>1</v>
      </c>
      <c r="H77">
        <v>1</v>
      </c>
    </row>
    <row r="78" spans="1:8" x14ac:dyDescent="0.2">
      <c r="A78">
        <v>-3</v>
      </c>
      <c r="B78" t="s">
        <v>4</v>
      </c>
      <c r="C78">
        <v>1</v>
      </c>
      <c r="H78">
        <v>1</v>
      </c>
    </row>
    <row r="79" spans="1:8" x14ac:dyDescent="0.2">
      <c r="A79">
        <v>0</v>
      </c>
      <c r="B79" t="s">
        <v>3</v>
      </c>
      <c r="C79">
        <v>1</v>
      </c>
      <c r="E79">
        <v>1</v>
      </c>
    </row>
    <row r="80" spans="1:8" x14ac:dyDescent="0.2">
      <c r="A80">
        <v>0</v>
      </c>
      <c r="B80" t="s">
        <v>3</v>
      </c>
      <c r="C80">
        <v>1</v>
      </c>
      <c r="E80">
        <v>1</v>
      </c>
    </row>
    <row r="81" spans="1:8" x14ac:dyDescent="0.2">
      <c r="A81">
        <v>0</v>
      </c>
      <c r="B81" t="s">
        <v>3</v>
      </c>
      <c r="C81">
        <v>1</v>
      </c>
      <c r="E81">
        <v>1</v>
      </c>
    </row>
    <row r="82" spans="1:8" x14ac:dyDescent="0.2">
      <c r="A82">
        <v>1</v>
      </c>
      <c r="B82" t="s">
        <v>3</v>
      </c>
      <c r="C82">
        <v>0</v>
      </c>
      <c r="G82">
        <v>1</v>
      </c>
    </row>
    <row r="83" spans="1:8" x14ac:dyDescent="0.2">
      <c r="A83">
        <v>0</v>
      </c>
      <c r="B83" t="s">
        <v>3</v>
      </c>
      <c r="C83">
        <v>1</v>
      </c>
      <c r="E83">
        <v>1</v>
      </c>
    </row>
    <row r="84" spans="1:8" x14ac:dyDescent="0.2">
      <c r="A84">
        <v>0</v>
      </c>
      <c r="B84" t="s">
        <v>3</v>
      </c>
      <c r="C84">
        <v>1</v>
      </c>
      <c r="E84">
        <v>1</v>
      </c>
    </row>
    <row r="85" spans="1:8" x14ac:dyDescent="0.2">
      <c r="A85">
        <v>0</v>
      </c>
      <c r="B85" t="s">
        <v>3</v>
      </c>
      <c r="C85">
        <v>1</v>
      </c>
      <c r="E85">
        <v>1</v>
      </c>
    </row>
    <row r="86" spans="1:8" x14ac:dyDescent="0.2">
      <c r="A86">
        <v>0</v>
      </c>
      <c r="B86" t="s">
        <v>3</v>
      </c>
      <c r="C86">
        <v>1</v>
      </c>
      <c r="E86">
        <v>1</v>
      </c>
    </row>
    <row r="87" spans="1:8" x14ac:dyDescent="0.2">
      <c r="A87">
        <v>2</v>
      </c>
      <c r="B87" t="s">
        <v>4</v>
      </c>
      <c r="C87">
        <v>1</v>
      </c>
      <c r="H87">
        <v>1</v>
      </c>
    </row>
    <row r="88" spans="1:8" x14ac:dyDescent="0.2">
      <c r="A88">
        <v>3</v>
      </c>
      <c r="B88" t="s">
        <v>4</v>
      </c>
      <c r="C88">
        <v>1</v>
      </c>
      <c r="H88">
        <v>1</v>
      </c>
    </row>
    <row r="89" spans="1:8" x14ac:dyDescent="0.2">
      <c r="A89">
        <v>3</v>
      </c>
      <c r="B89" t="s">
        <v>4</v>
      </c>
      <c r="C89">
        <v>1</v>
      </c>
      <c r="H89">
        <v>1</v>
      </c>
    </row>
    <row r="90" spans="1:8" x14ac:dyDescent="0.2">
      <c r="A90">
        <v>0</v>
      </c>
      <c r="B90" t="s">
        <v>3</v>
      </c>
      <c r="C90">
        <v>1</v>
      </c>
      <c r="E90">
        <v>1</v>
      </c>
    </row>
    <row r="91" spans="1:8" x14ac:dyDescent="0.2">
      <c r="A91">
        <v>2</v>
      </c>
      <c r="B91" t="s">
        <v>3</v>
      </c>
      <c r="C91">
        <v>0</v>
      </c>
      <c r="G91">
        <v>1</v>
      </c>
    </row>
    <row r="92" spans="1:8" x14ac:dyDescent="0.2">
      <c r="A92">
        <v>0</v>
      </c>
      <c r="B92" t="s">
        <v>3</v>
      </c>
      <c r="C92">
        <v>1</v>
      </c>
      <c r="E92">
        <v>1</v>
      </c>
    </row>
    <row r="93" spans="1:8" x14ac:dyDescent="0.2">
      <c r="A93">
        <v>0</v>
      </c>
      <c r="B93" t="s">
        <v>4</v>
      </c>
      <c r="C93">
        <v>0</v>
      </c>
      <c r="F93">
        <v>1</v>
      </c>
    </row>
    <row r="94" spans="1:8" x14ac:dyDescent="0.2">
      <c r="A94">
        <v>0</v>
      </c>
      <c r="B94" t="s">
        <v>3</v>
      </c>
      <c r="C94">
        <v>1</v>
      </c>
      <c r="E94">
        <v>1</v>
      </c>
    </row>
    <row r="95" spans="1:8" x14ac:dyDescent="0.2">
      <c r="A95">
        <v>-4</v>
      </c>
      <c r="B95" t="s">
        <v>4</v>
      </c>
      <c r="C95">
        <v>1</v>
      </c>
      <c r="H95">
        <v>1</v>
      </c>
    </row>
    <row r="96" spans="1:8" x14ac:dyDescent="0.2">
      <c r="A96">
        <v>-2</v>
      </c>
      <c r="B96" t="s">
        <v>4</v>
      </c>
      <c r="C96">
        <v>1</v>
      </c>
      <c r="H96">
        <v>1</v>
      </c>
    </row>
    <row r="97" spans="1:8" x14ac:dyDescent="0.2">
      <c r="A97">
        <v>1</v>
      </c>
      <c r="B97" t="s">
        <v>3</v>
      </c>
      <c r="C97">
        <v>0</v>
      </c>
      <c r="G97">
        <v>1</v>
      </c>
    </row>
    <row r="98" spans="1:8" x14ac:dyDescent="0.2">
      <c r="A98">
        <v>1</v>
      </c>
      <c r="B98" t="s">
        <v>3</v>
      </c>
      <c r="C98">
        <v>0</v>
      </c>
      <c r="G98">
        <v>1</v>
      </c>
    </row>
    <row r="99" spans="1:8" x14ac:dyDescent="0.2">
      <c r="A99">
        <v>-2</v>
      </c>
      <c r="B99" t="s">
        <v>3</v>
      </c>
      <c r="C99">
        <v>0</v>
      </c>
      <c r="G99">
        <v>1</v>
      </c>
    </row>
    <row r="100" spans="1:8" x14ac:dyDescent="0.2">
      <c r="A100">
        <v>2</v>
      </c>
      <c r="B100" t="s">
        <v>4</v>
      </c>
      <c r="C100">
        <v>1</v>
      </c>
      <c r="H100">
        <v>1</v>
      </c>
    </row>
    <row r="101" spans="1:8" x14ac:dyDescent="0.2">
      <c r="A101">
        <v>0</v>
      </c>
      <c r="B101" t="s">
        <v>4</v>
      </c>
      <c r="C101">
        <v>0</v>
      </c>
      <c r="F101">
        <v>1</v>
      </c>
    </row>
    <row r="102" spans="1:8" x14ac:dyDescent="0.2">
      <c r="D102" s="1" t="s">
        <v>9</v>
      </c>
      <c r="E102" s="4">
        <f>SUM(E2:E101)</f>
        <v>37</v>
      </c>
      <c r="F102" s="4">
        <f t="shared" ref="F102:H102" si="0">SUM(F2:F101)</f>
        <v>12</v>
      </c>
      <c r="G102" s="4">
        <f t="shared" si="0"/>
        <v>10</v>
      </c>
      <c r="H102" s="4">
        <f t="shared" si="0"/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 Detection Responses</vt:lpstr>
      <vt:lpstr>Analysis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2025-09-09T04:10:14Z</dcterms:created>
  <dcterms:modified xsi:type="dcterms:W3CDTF">2025-09-09T12:05:54Z</dcterms:modified>
</cp:coreProperties>
</file>